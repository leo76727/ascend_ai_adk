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30" windowHeight="11655"/>
  </bookViews>
  <sheets>
    <sheet name="Gantt_Weekly_Auto" sheetId="1" r:id="rId1"/>
    <sheet name="Milestones" sheetId="2" r:id="rId2"/>
    <sheet name="Resource_Load" sheetId="3" r:id="rId3"/>
    <sheet name="JIRA_Import_Template" sheetId="4" r:id="rId4"/>
    <sheet name="Portfolio_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<sst xmlns="http://schemas.openxmlformats.org/spreadsheetml/2006/main" count="338" uniqueCount="132">
  <si>
    <t>ID</t>
  </si>
  <si>
    <t>Task</t>
  </si>
  <si>
    <t>Phase</t>
  </si>
  <si>
    <t>Owner</t>
  </si>
  <si>
    <t>Start</t>
  </si>
  <si>
    <t>End</t>
  </si>
  <si>
    <t>% Complete</t>
  </si>
  <si>
    <t>T1</t>
  </si>
  <si>
    <t>Requirements finalization</t>
  </si>
  <si>
    <t>Planning</t>
  </si>
  <si>
    <t>Team</t>
  </si>
  <si>
    <t>T2</t>
  </si>
  <si>
    <t>System design &amp; API spec</t>
  </si>
  <si>
    <t>T3</t>
  </si>
  <si>
    <t>Prompt design outline</t>
  </si>
  <si>
    <t>T4</t>
  </si>
  <si>
    <t>K8s + CI/CD readiness check</t>
  </si>
  <si>
    <t>T5</t>
  </si>
  <si>
    <t>Data tools: trades/market data/quotes</t>
  </si>
  <si>
    <t>Build</t>
  </si>
  <si>
    <t>T6</t>
  </si>
  <si>
    <t>REST agent service scaffold</t>
  </si>
  <si>
    <t>T7</t>
  </si>
  <si>
    <t>Agent model &amp; tool wiring</t>
  </si>
  <si>
    <t>T8</t>
  </si>
  <si>
    <t>Auth JWT bearer</t>
  </si>
  <si>
    <t>T9</t>
  </si>
  <si>
    <t>Logging + tracing base</t>
  </si>
  <si>
    <t>T10</t>
  </si>
  <si>
    <t>Prompt refinement</t>
  </si>
  <si>
    <t>Agent Logic</t>
  </si>
  <si>
    <t>T11</t>
  </si>
  <si>
    <t>Win-rate logic</t>
  </si>
  <si>
    <t>T12</t>
  </si>
  <si>
    <t>Payoff suggestion logic</t>
  </si>
  <si>
    <t>T13</t>
  </si>
  <si>
    <t>Quote UI updates</t>
  </si>
  <si>
    <t>UI &amp; Deploy</t>
  </si>
  <si>
    <t>T14</t>
  </si>
  <si>
    <t>K8s deployment scripting</t>
  </si>
  <si>
    <t>T15</t>
  </si>
  <si>
    <t>CI/CD full pipeline</t>
  </si>
  <si>
    <t>T16</t>
  </si>
  <si>
    <t>Load/testing &amp; feedback</t>
  </si>
  <si>
    <t>Integration</t>
  </si>
  <si>
    <t>All</t>
  </si>
  <si>
    <t>T17</t>
  </si>
  <si>
    <t>UAT</t>
  </si>
  <si>
    <t>Users</t>
  </si>
  <si>
    <t>T18</t>
  </si>
  <si>
    <t>Prod rollout</t>
  </si>
  <si>
    <t>Production</t>
  </si>
  <si>
    <t>Milestone ID</t>
  </si>
  <si>
    <t>Milestone</t>
  </si>
  <si>
    <t>Date</t>
  </si>
  <si>
    <t>Status</t>
  </si>
  <si>
    <t>Notes</t>
  </si>
  <si>
    <t>M1</t>
  </si>
  <si>
    <t>Design Complete</t>
  </si>
  <si>
    <t>Dev Lead</t>
  </si>
  <si>
    <t>Pending</t>
  </si>
  <si>
    <t/>
  </si>
  <si>
    <t>M2</t>
  </si>
  <si>
    <t>Backend Ready</t>
  </si>
  <si>
    <t>Dev A</t>
  </si>
  <si>
    <t>M3</t>
  </si>
  <si>
    <t>Agent Ready</t>
  </si>
  <si>
    <t>Dev B</t>
  </si>
  <si>
    <t>M4</t>
  </si>
  <si>
    <t>UI + Deployment Ready</t>
  </si>
  <si>
    <t>Dev C</t>
  </si>
  <si>
    <t>M5</t>
  </si>
  <si>
    <t>UAT Start</t>
  </si>
  <si>
    <t>M6</t>
  </si>
  <si>
    <t>Go-Live</t>
  </si>
  <si>
    <t>Ops</t>
  </si>
  <si>
    <t>Week Start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</si>
  <si>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</si>
  <si>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</si>
  <si>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</si>
  <si>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</si>
  <si>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</si>
  <si>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</si>
  <si>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</si>
  <si>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</si>
  <si>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</si>
  <si>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</si>
  <si>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</si>
  <si>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</si>
  <si>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</si>
  <si>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</si>
  <si>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</si>
  <si>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</si>
  <si>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</si>
  <si>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Total/Week</t>
  </si>
  <si>
    <t>Summary</t>
  </si>
  <si>
    <t>Issue Type</t>
  </si>
  <si>
    <t>Description</t>
  </si>
  <si>
    <t>Priority</t>
  </si>
  <si>
    <t>Assignee</t>
  </si>
  <si>
    <t>Reporter</t>
  </si>
  <si>
    <t>Start Date</t>
  </si>
  <si>
    <t>Due Date</t>
  </si>
  <si>
    <t>Epic Link</t>
  </si>
  <si>
    <t>Planning - Requirements finalization</t>
  </si>
  <si>
    <t>High</t>
  </si>
  <si>
    <t>PM</t>
  </si>
  <si>
    <t>AI-Agent-EPIC</t>
  </si>
  <si>
    <t>Planning - System design &amp; API spec</t>
  </si>
  <si>
    <t>Dev A/B/C</t>
  </si>
  <si>
    <t>Planning - Prompt design outline</t>
  </si>
  <si>
    <t>Planning - K8s + CI/CD readiness check</t>
  </si>
  <si>
    <t>Data tools: trades/market</t>
  </si>
  <si>
    <t>Build - Data tools: trades/market</t>
  </si>
  <si>
    <t>Build - REST agent service scaffold</t>
  </si>
  <si>
    <t>Build - Agent model &amp; tool wiring</t>
  </si>
  <si>
    <t>Build - Auth JWT bearer</t>
  </si>
  <si>
    <t>Build - Logging + tracing base</t>
  </si>
  <si>
    <t>Agent Logic - Prompt refinement</t>
  </si>
  <si>
    <t>Agent Logic - Win-rate logic</t>
  </si>
  <si>
    <t>Agent Logic - Payoff suggestion logic</t>
  </si>
  <si>
    <t>UI &amp; Deploy - Quote UI updates</t>
  </si>
  <si>
    <t>UI &amp; Deploy - K8s deployment scripting</t>
  </si>
  <si>
    <t>UI &amp; Deploy - CI/CD full pipeline</t>
  </si>
  <si>
    <t>Integration - Load/testing &amp; feedback</t>
  </si>
  <si>
    <t>UAT - UAT</t>
  </si>
  <si>
    <t>Production - Prod rollout</t>
  </si>
  <si>
    <t>DevOps</t>
  </si>
  <si>
    <t>Workstream</t>
  </si>
  <si>
    <t>Core Platform</t>
  </si>
  <si>
    <t>On Track</t>
  </si>
  <si>
    <t>Agent/UX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</si>
</sst>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tabSelected="1" workbookViewId="0">
      <pane xSplit="7" ySplit="1" topLeftCell="H2" activePane="bottomRight" state="frozen"/>
      <selection/>
      <selection pane="topRight"/>
      <selection pane="bottomLeft"/>
      <selection pane="bottomRight" activeCell="J15" sqref="J15"/>
    </sheetView>
  </sheetViews>
  <sheetFormatPr defaultColWidth="9" defaultRowHeight="13.5"/>
  <cols>
    <col min="2" max="2" width="27.375" customWidth="1"/>
    <col min="3" max="3" width="11" customWidth="1"/>
    <col min="4" max="4" width="8.125" customWidth="1"/>
    <col min="5" max="6" width="11.5" customWidth="1"/>
    <col min="7" max="7" width="12.875" customWidth="1"/>
    <col min="8" max="24" width="12" customWidth="1"/>
  </cols>
  <sheetData>
    <row r="1" ht="15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>
        <v>45964</v>
      </c>
      <c r="I1" s="1">
        <v>45971</v>
      </c>
      <c r="J1" s="1">
        <v>45978</v>
      </c>
      <c r="K1" s="1">
        <v>45985</v>
      </c>
      <c r="L1" s="1">
        <v>45992</v>
      </c>
      <c r="M1" s="1">
        <v>45999</v>
      </c>
      <c r="N1" s="1">
        <v>46006</v>
      </c>
      <c r="O1" s="1">
        <v>46013</v>
      </c>
      <c r="P1" s="1">
        <v>46020</v>
      </c>
      <c r="Q1" s="1">
        <v>46027</v>
      </c>
      <c r="R1" s="1">
        <v>46034</v>
      </c>
      <c r="S1" s="1">
        <v>46041</v>
      </c>
      <c r="T1" s="1">
        <v>46048</v>
      </c>
      <c r="U1" s="1">
        <v>46055</v>
      </c>
      <c r="V1" s="1">
        <v>46062</v>
      </c>
      <c r="W1" s="1">
        <v>46069</v>
      </c>
      <c r="X1" s="1">
        <v>46076</v>
      </c>
    </row>
    <row r="2" ht="14.25" spans="1:24">
      <c r="A2" s="4" t="s">
        <v>7</v>
      </c>
      <c r="B2" s="4" t="s">
        <v>8</v>
      </c>
      <c r="C2" s="4" t="s">
        <v>9</v>
      </c>
      <c r="D2" s="4" t="s">
        <v>10</v>
      </c>
      <c r="E2" s="5">
        <v>45964</v>
      </c>
      <c r="F2" s="5">
        <v>45971</v>
      </c>
      <c r="G2" s="6">
        <v>100</v>
      </c>
    </row>
    <row r="3" ht="14.25" spans="1:24">
      <c r="A3" s="4" t="s">
        <v>11</v>
      </c>
      <c r="B3" s="4" t="s">
        <v>12</v>
      </c>
      <c r="C3" s="4" t="s">
        <v>9</v>
      </c>
      <c r="D3" s="4" t="s">
        <v>10</v>
      </c>
      <c r="E3" s="5">
        <v>45964</v>
      </c>
      <c r="F3" s="5">
        <v>45971</v>
      </c>
      <c r="G3" s="6">
        <v>90</v>
      </c>
    </row>
    <row r="4" ht="14.25" spans="1:24">
      <c r="A4" s="4" t="s">
        <v>13</v>
      </c>
      <c r="B4" s="4" t="s">
        <v>14</v>
      </c>
      <c r="C4" s="4" t="s">
        <v>9</v>
      </c>
      <c r="D4" s="4" t="s">
        <v>10</v>
      </c>
      <c r="E4" s="5">
        <v>45964</v>
      </c>
      <c r="F4" s="5">
        <v>45971</v>
      </c>
      <c r="G4" s="6">
        <v>50</v>
      </c>
    </row>
    <row r="5" ht="14.25" spans="1:24">
      <c r="A5" s="4" t="s">
        <v>15</v>
      </c>
      <c r="B5" s="4" t="s">
        <v>16</v>
      </c>
      <c r="C5" s="4" t="s">
        <v>9</v>
      </c>
      <c r="D5" s="4" t="s">
        <v>10</v>
      </c>
      <c r="E5" s="5">
        <v>45964</v>
      </c>
      <c r="F5" s="5">
        <v>45971</v>
      </c>
      <c r="G5" s="6">
        <v>30</v>
      </c>
    </row>
    <row r="6" ht="28.5" spans="1:24">
      <c r="A6" s="4" t="s">
        <v>17</v>
      </c>
      <c r="B6" s="7" t="s">
        <v>18</v>
      </c>
      <c r="C6" s="4" t="s">
        <v>19</v>
      </c>
      <c r="D6" s="4"/>
      <c r="E6" s="5">
        <v>45971</v>
      </c>
      <c r="F6" s="5">
        <v>45992</v>
      </c>
      <c r="G6" s="6">
        <v>20</v>
      </c>
    </row>
    <row r="7" ht="14.25" spans="1:24">
      <c r="A7" s="4" t="s">
        <v>20</v>
      </c>
      <c r="B7" s="4" t="s">
        <v>21</v>
      </c>
      <c r="C7" s="4" t="s">
        <v>19</v>
      </c>
      <c r="D7" s="4"/>
      <c r="E7" s="5">
        <v>45971</v>
      </c>
      <c r="F7" s="5">
        <v>45992</v>
      </c>
      <c r="G7" s="6">
        <v>10</v>
      </c>
    </row>
    <row r="8" ht="14.25" spans="1:24">
      <c r="A8" s="4" t="s">
        <v>22</v>
      </c>
      <c r="B8" s="4" t="s">
        <v>23</v>
      </c>
      <c r="C8" s="4" t="s">
        <v>19</v>
      </c>
      <c r="D8" s="4"/>
      <c r="E8" s="5">
        <v>45971</v>
      </c>
      <c r="F8" s="5">
        <v>45992</v>
      </c>
      <c r="G8" s="6">
        <v>5</v>
      </c>
    </row>
    <row r="9" ht="14.25" spans="1:24">
      <c r="A9" s="4" t="s">
        <v>24</v>
      </c>
      <c r="B9" s="4" t="s">
        <v>25</v>
      </c>
      <c r="C9" s="4" t="s">
        <v>19</v>
      </c>
      <c r="D9" s="4"/>
      <c r="E9" s="5">
        <v>45971</v>
      </c>
      <c r="F9" s="5">
        <v>45992</v>
      </c>
      <c r="G9" s="6">
        <v>0</v>
      </c>
    </row>
    <row r="10" ht="14.25" spans="1:24">
      <c r="A10" s="4" t="s">
        <v>26</v>
      </c>
      <c r="B10" s="4" t="s">
        <v>27</v>
      </c>
      <c r="C10" s="4" t="s">
        <v>19</v>
      </c>
      <c r="D10" s="4"/>
      <c r="E10" s="5">
        <v>45971</v>
      </c>
      <c r="F10" s="5">
        <v>45992</v>
      </c>
      <c r="G10" s="6">
        <v>0</v>
      </c>
    </row>
    <row r="11" ht="14.25" spans="1:24">
      <c r="A11" s="4" t="s">
        <v>28</v>
      </c>
      <c r="B11" s="4" t="s">
        <v>29</v>
      </c>
      <c r="C11" s="4" t="s">
        <v>30</v>
      </c>
      <c r="D11" s="4"/>
      <c r="E11" s="5">
        <v>45992</v>
      </c>
      <c r="F11" s="5">
        <v>46006</v>
      </c>
      <c r="G11" s="6">
        <v>0</v>
      </c>
    </row>
    <row r="12" ht="14.25" spans="1:24">
      <c r="A12" s="4" t="s">
        <v>31</v>
      </c>
      <c r="B12" s="4" t="s">
        <v>32</v>
      </c>
      <c r="C12" s="4" t="s">
        <v>30</v>
      </c>
      <c r="D12" s="4"/>
      <c r="E12" s="5">
        <v>45992</v>
      </c>
      <c r="F12" s="5">
        <v>46006</v>
      </c>
      <c r="G12" s="6">
        <v>0</v>
      </c>
    </row>
    <row r="13" ht="14.25" spans="1:24">
      <c r="A13" s="4" t="s">
        <v>33</v>
      </c>
      <c r="B13" s="4" t="s">
        <v>34</v>
      </c>
      <c r="C13" s="4" t="s">
        <v>30</v>
      </c>
      <c r="D13" s="4"/>
      <c r="E13" s="5">
        <v>45992</v>
      </c>
      <c r="F13" s="5">
        <v>46006</v>
      </c>
      <c r="G13" s="6">
        <v>0</v>
      </c>
    </row>
    <row r="14" ht="14.25" spans="1:24">
      <c r="A14" s="4" t="s">
        <v>35</v>
      </c>
      <c r="B14" s="4" t="s">
        <v>36</v>
      </c>
      <c r="C14" s="4" t="s">
        <v>37</v>
      </c>
      <c r="D14" s="4"/>
      <c r="E14" s="5">
        <v>46006</v>
      </c>
      <c r="F14" s="5">
        <v>46013</v>
      </c>
      <c r="G14" s="6">
        <v>0</v>
      </c>
    </row>
    <row r="15" ht="14.25" spans="1:24">
      <c r="A15" s="4" t="s">
        <v>38</v>
      </c>
      <c r="B15" s="4" t="s">
        <v>39</v>
      </c>
      <c r="C15" s="4" t="s">
        <v>37</v>
      </c>
      <c r="D15" s="4"/>
      <c r="E15" s="5">
        <v>46006</v>
      </c>
      <c r="F15" s="5">
        <v>46013</v>
      </c>
      <c r="G15" s="6">
        <v>0</v>
      </c>
    </row>
    <row r="16" ht="14.25" spans="1:24">
      <c r="A16" s="4" t="s">
        <v>40</v>
      </c>
      <c r="B16" s="4" t="s">
        <v>41</v>
      </c>
      <c r="C16" s="4" t="s">
        <v>37</v>
      </c>
      <c r="D16" s="4"/>
      <c r="E16" s="5">
        <v>46006</v>
      </c>
      <c r="F16" s="5">
        <v>46013</v>
      </c>
      <c r="G16" s="6">
        <v>0</v>
      </c>
    </row>
    <row r="17" ht="14.25" spans="1:7">
      <c r="A17" s="4" t="s">
        <v>42</v>
      </c>
      <c r="B17" s="4" t="s">
        <v>43</v>
      </c>
      <c r="C17" s="4" t="s">
        <v>44</v>
      </c>
      <c r="D17" s="4" t="s">
        <v>45</v>
      </c>
      <c r="E17" s="5">
        <v>46013</v>
      </c>
      <c r="F17" s="5">
        <v>46020</v>
      </c>
      <c r="G17" s="6">
        <v>0</v>
      </c>
    </row>
    <row r="18" ht="14.25" spans="1:7">
      <c r="A18" s="4" t="s">
        <v>46</v>
      </c>
      <c r="B18" s="4" t="s">
        <v>47</v>
      </c>
      <c r="C18" s="4" t="s">
        <v>47</v>
      </c>
      <c r="D18" s="4" t="s">
        <v>48</v>
      </c>
      <c r="E18" s="5">
        <v>46023</v>
      </c>
      <c r="F18" s="5">
        <v>46053</v>
      </c>
      <c r="G18" s="6">
        <v>0</v>
      </c>
    </row>
    <row r="19" ht="14.25" spans="1:7">
      <c r="A19" s="4" t="s">
        <v>49</v>
      </c>
      <c r="B19" s="4" t="s">
        <v>50</v>
      </c>
      <c r="C19" s="4" t="s">
        <v>51</v>
      </c>
      <c r="D19" s="4"/>
      <c r="E19" s="5">
        <v>46054</v>
      </c>
      <c r="F19" s="5">
        <v>46058</v>
      </c>
      <c r="G19" s="6">
        <v>0</v>
      </c>
    </row>
  </sheetData>
  <conditionalFormatting sqref="G2:G100">
    <cfRule type="cellIs" dxfId="0" priority="18" operator="greaterThanOrEqual">
      <formula>80</formula>
    </cfRule>
    <cfRule type="cellIs" dxfId="1" priority="19" operator="between">
      <formula>50</formula>
      <formula>79</formula>
    </cfRule>
    <cfRule type="cellIs" dxfId="2" priority="20" operator="lessThan">
      <formula>50</formula>
    </cfRule>
  </conditionalFormatting>
  <conditionalFormatting sqref="H2:H19">
    <cfRule type="expression" dxfId="3" priority="1">
      <formula>AND($E2&lt;=H$1,$F2&gt;=H$1)</formula>
    </cfRule>
  </conditionalFormatting>
  <conditionalFormatting sqref="I2:I19">
    <cfRule type="expression" dxfId="3" priority="2">
      <formula>AND($E2&lt;=I$1,$F2&gt;=I$1)</formula>
    </cfRule>
  </conditionalFormatting>
  <conditionalFormatting sqref="J2:J19">
    <cfRule type="expression" dxfId="3" priority="3">
      <formula>AND($E2&lt;=J$1,$F2&gt;=J$1)</formula>
    </cfRule>
  </conditionalFormatting>
  <conditionalFormatting sqref="K2:K19">
    <cfRule type="expression" dxfId="3" priority="4">
      <formula>AND($E2&lt;=K$1,$F2&gt;=K$1)</formula>
    </cfRule>
  </conditionalFormatting>
  <conditionalFormatting sqref="L2:L19">
    <cfRule type="expression" dxfId="3" priority="5">
      <formula>AND($E2&lt;=L$1,$F2&gt;=L$1)</formula>
    </cfRule>
  </conditionalFormatting>
  <conditionalFormatting sqref="M2:M19">
    <cfRule type="expression" dxfId="3" priority="6">
      <formula>AND($E2&lt;=M$1,$F2&gt;=M$1)</formula>
    </cfRule>
  </conditionalFormatting>
  <conditionalFormatting sqref="N2:N19">
    <cfRule type="expression" dxfId="3" priority="7">
      <formula>AND($E2&lt;=N$1,$F2&gt;=N$1)</formula>
    </cfRule>
  </conditionalFormatting>
  <conditionalFormatting sqref="O2:O19">
    <cfRule type="expression" dxfId="3" priority="8">
      <formula>AND($E2&lt;=O$1,$F2&gt;=O$1)</formula>
    </cfRule>
  </conditionalFormatting>
  <conditionalFormatting sqref="P2:P19">
    <cfRule type="expression" dxfId="3" priority="9">
      <formula>AND($E2&lt;=P$1,$F2&gt;=P$1)</formula>
    </cfRule>
  </conditionalFormatting>
  <conditionalFormatting sqref="Q2:Q19">
    <cfRule type="expression" dxfId="3" priority="10">
      <formula>AND($E2&lt;=Q$1,$F2&gt;=Q$1)</formula>
    </cfRule>
  </conditionalFormatting>
  <conditionalFormatting sqref="R2:R19">
    <cfRule type="expression" dxfId="3" priority="11">
      <formula>AND($E2&lt;=R$1,$F2&gt;=R$1)</formula>
    </cfRule>
  </conditionalFormatting>
  <conditionalFormatting sqref="S2:S19">
    <cfRule type="expression" dxfId="3" priority="12">
      <formula>AND($E2&lt;=S$1,$F2&gt;=S$1)</formula>
    </cfRule>
  </conditionalFormatting>
  <conditionalFormatting sqref="T2:T19">
    <cfRule type="expression" dxfId="3" priority="13">
      <formula>AND($E2&lt;=T$1,$F2&gt;=T$1)</formula>
    </cfRule>
  </conditionalFormatting>
  <conditionalFormatting sqref="U2:U19">
    <cfRule type="expression" dxfId="3" priority="14">
      <formula>AND($E2&lt;=U$1,$F2&gt;=U$1)</formula>
    </cfRule>
  </conditionalFormatting>
  <conditionalFormatting sqref="V2:V19">
    <cfRule type="expression" dxfId="3" priority="15">
      <formula>AND($E2&lt;=V$1,$F2&gt;=V$1)</formula>
    </cfRule>
  </conditionalFormatting>
  <conditionalFormatting sqref="W2:W19">
    <cfRule type="expression" dxfId="3" priority="16">
      <formula>AND($E2&lt;=W$1,$F2&gt;=W$1)</formula>
    </cfRule>
  </conditionalFormatting>
  <conditionalFormatting sqref="X2:X19">
    <cfRule type="expression" dxfId="3" priority="17">
      <formula>AND($E2&lt;=X$1,$F2&gt;=X$1)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3.5" outlineLevelRow="6" outlineLevelCol="5"/>
  <sheetData>
    <row r="1" spans="1:6">
      <c r="A1" t="s">
        <v>52</v>
      </c>
      <c r="B1" t="s">
        <v>53</v>
      </c>
      <c r="C1" t="s">
        <v>54</v>
      </c>
      <c r="D1" t="s">
        <v>3</v>
      </c>
      <c r="E1" t="s">
        <v>55</v>
      </c>
      <c r="F1" t="s">
        <v>56</v>
      </c>
    </row>
    <row r="2" spans="1:6">
      <c r="A2" t="s">
        <v>57</v>
      </c>
      <c r="B2" t="s">
        <v>58</v>
      </c>
      <c r="C2" s="1">
        <v>45971</v>
      </c>
      <c r="D2" t="s">
        <v>59</v>
      </c>
      <c r="E2" t="s">
        <v>60</v>
      </c>
      <c r="F2" t="s">
        <v>61</v>
      </c>
    </row>
    <row r="3" spans="1:6">
      <c r="A3" t="s">
        <v>62</v>
      </c>
      <c r="B3" t="s">
        <v>63</v>
      </c>
      <c r="C3" s="1">
        <v>45992</v>
      </c>
      <c r="D3" t="s">
        <v>64</v>
      </c>
      <c r="E3" t="s">
        <v>60</v>
      </c>
      <c r="F3" t="s">
        <v>61</v>
      </c>
    </row>
    <row r="4" spans="1:6">
      <c r="A4" t="s">
        <v>65</v>
      </c>
      <c r="B4" t="s">
        <v>66</v>
      </c>
      <c r="C4" s="1">
        <v>46006</v>
      </c>
      <c r="D4" t="s">
        <v>67</v>
      </c>
      <c r="E4" t="s">
        <v>60</v>
      </c>
      <c r="F4" t="s">
        <v>61</v>
      </c>
    </row>
    <row r="5" spans="1:6">
      <c r="A5" t="s">
        <v>68</v>
      </c>
      <c r="B5" t="s">
        <v>69</v>
      </c>
      <c r="C5" s="1">
        <v>46013</v>
      </c>
      <c r="D5" t="s">
        <v>70</v>
      </c>
      <c r="E5" t="s">
        <v>60</v>
      </c>
      <c r="F5" t="s">
        <v>61</v>
      </c>
    </row>
    <row r="6" spans="1:6">
      <c r="A6" t="s">
        <v>71</v>
      </c>
      <c r="B6" t="s">
        <v>72</v>
      </c>
      <c r="C6" s="1">
        <v>46023</v>
      </c>
      <c r="D6" t="s">
        <v>48</v>
      </c>
      <c r="E6" t="s">
        <v>60</v>
      </c>
      <c r="F6" t="s">
        <v>61</v>
      </c>
    </row>
    <row r="7" spans="1:6">
      <c r="A7" t="s">
        <v>73</v>
      </c>
      <c r="B7" t="s">
        <v>74</v>
      </c>
      <c r="C7" s="1">
        <v>46058</v>
      </c>
      <c r="D7" t="s">
        <v>75</v>
      </c>
      <c r="E7" t="s">
        <v>60</v>
      </c>
      <c r="F7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workbookViewId="0">
      <selection activeCell="A1" sqref="A1"/>
    </sheetView>
  </sheetViews>
  <sheetFormatPr defaultColWidth="9" defaultRowHeight="13.5" outlineLevelRow="4"/>
  <sheetData>
    <row r="1" spans="1:18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</row>
    <row r="2" spans="1:18">
      <c r="A2" s="2" t="s">
        <v>64</v>
      </c>
      <c r="B2" s="2">
        <v>40</v>
      </c>
      <c r="C2" s="2">
        <v>100</v>
      </c>
      <c r="D2" s="2">
        <v>60</v>
      </c>
      <c r="E2" s="2">
        <v>60</v>
      </c>
      <c r="F2" s="2">
        <v>60</v>
      </c>
      <c r="G2" s="2">
        <v>0</v>
      </c>
      <c r="H2" s="2">
        <v>0</v>
      </c>
      <c r="I2" s="2">
        <v>20</v>
      </c>
      <c r="J2" s="2">
        <v>20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>
      <c r="A3" s="2" t="s">
        <v>67</v>
      </c>
      <c r="B3" s="2">
        <v>40</v>
      </c>
      <c r="C3" s="2">
        <v>60</v>
      </c>
      <c r="D3" s="2">
        <v>20</v>
      </c>
      <c r="E3" s="2">
        <v>20</v>
      </c>
      <c r="F3" s="2">
        <v>80</v>
      </c>
      <c r="G3" s="2">
        <v>60</v>
      </c>
      <c r="H3" s="2">
        <v>60</v>
      </c>
      <c r="I3" s="2">
        <v>20</v>
      </c>
      <c r="J3" s="2">
        <v>20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>
      <c r="A4" s="2" t="s">
        <v>70</v>
      </c>
      <c r="B4" s="2">
        <v>40</v>
      </c>
      <c r="C4" s="2">
        <v>60</v>
      </c>
      <c r="D4" s="2">
        <v>20</v>
      </c>
      <c r="E4" s="2">
        <v>20</v>
      </c>
      <c r="F4" s="2">
        <v>20</v>
      </c>
      <c r="G4" s="2">
        <v>0</v>
      </c>
      <c r="H4" s="2">
        <v>60</v>
      </c>
      <c r="I4" s="2">
        <v>80</v>
      </c>
      <c r="J4" s="2">
        <v>20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>
      <c r="A5" s="2" t="s">
        <v>94</v>
      </c>
      <c r="B5" s="2">
        <f t="shared" ref="B5:R5" si="0">SUM(B2:B4)</f>
        <v>120</v>
      </c>
      <c r="C5" s="2">
        <f t="shared" si="0"/>
        <v>220</v>
      </c>
      <c r="D5" s="2">
        <f t="shared" si="0"/>
        <v>100</v>
      </c>
      <c r="E5" s="2">
        <f t="shared" si="0"/>
        <v>100</v>
      </c>
      <c r="F5" s="2">
        <f t="shared" si="0"/>
        <v>160</v>
      </c>
      <c r="G5" s="2">
        <f t="shared" si="0"/>
        <v>60</v>
      </c>
      <c r="H5" s="2">
        <f t="shared" si="0"/>
        <v>120</v>
      </c>
      <c r="I5" s="2">
        <f t="shared" si="0"/>
        <v>120</v>
      </c>
      <c r="J5" s="2">
        <f t="shared" si="0"/>
        <v>60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0</v>
      </c>
      <c r="O5" s="2">
        <f t="shared" si="0"/>
        <v>0</v>
      </c>
      <c r="P5" s="2">
        <f t="shared" si="0"/>
        <v>0</v>
      </c>
      <c r="Q5" s="2">
        <f t="shared" si="0"/>
        <v>0</v>
      </c>
      <c r="R5" s="2">
        <f t="shared" si="0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3.5"/>
  <sheetData>
    <row r="1" spans="1:9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</row>
    <row r="2" spans="1:9">
      <c r="A2" t="s">
        <v>8</v>
      </c>
      <c r="B2" t="s">
        <v>1</v>
      </c>
      <c r="C2" t="s">
        <v>104</v>
      </c>
      <c r="D2" t="s">
        <v>105</v>
      </c>
      <c r="E2" t="s">
        <v>64</v>
      </c>
      <c r="F2" t="s">
        <v>106</v>
      </c>
      <c r="G2" s="1">
        <v>45964</v>
      </c>
      <c r="H2" s="1">
        <v>45971</v>
      </c>
      <c r="I2" t="s">
        <v>107</v>
      </c>
    </row>
    <row r="3" spans="1:9">
      <c r="A3" t="s">
        <v>12</v>
      </c>
      <c r="B3" t="s">
        <v>1</v>
      </c>
      <c r="C3" t="s">
        <v>108</v>
      </c>
      <c r="D3" t="s">
        <v>105</v>
      </c>
      <c r="E3" t="s">
        <v>109</v>
      </c>
      <c r="F3" t="s">
        <v>106</v>
      </c>
      <c r="G3" s="1">
        <v>45964</v>
      </c>
      <c r="H3" s="1">
        <v>45971</v>
      </c>
      <c r="I3" t="s">
        <v>107</v>
      </c>
    </row>
    <row r="4" spans="1:9">
      <c r="A4" t="s">
        <v>14</v>
      </c>
      <c r="B4" t="s">
        <v>1</v>
      </c>
      <c r="C4" t="s">
        <v>110</v>
      </c>
      <c r="D4" t="s">
        <v>105</v>
      </c>
      <c r="E4" t="s">
        <v>67</v>
      </c>
      <c r="F4" t="s">
        <v>106</v>
      </c>
      <c r="G4" s="1">
        <v>45964</v>
      </c>
      <c r="H4" s="1">
        <v>45971</v>
      </c>
      <c r="I4" t="s">
        <v>107</v>
      </c>
    </row>
    <row r="5" spans="1:9">
      <c r="A5" t="s">
        <v>16</v>
      </c>
      <c r="B5" t="s">
        <v>1</v>
      </c>
      <c r="C5" t="s">
        <v>111</v>
      </c>
      <c r="D5" t="s">
        <v>105</v>
      </c>
      <c r="E5" t="s">
        <v>70</v>
      </c>
      <c r="F5" t="s">
        <v>106</v>
      </c>
      <c r="G5" s="1">
        <v>45964</v>
      </c>
      <c r="H5" s="1">
        <v>45971</v>
      </c>
      <c r="I5" t="s">
        <v>107</v>
      </c>
    </row>
    <row r="6" spans="1:9">
      <c r="A6" t="s">
        <v>112</v>
      </c>
      <c r="B6" t="s">
        <v>1</v>
      </c>
      <c r="C6" t="s">
        <v>113</v>
      </c>
      <c r="D6" t="s">
        <v>105</v>
      </c>
      <c r="E6" t="s">
        <v>64</v>
      </c>
      <c r="F6" t="s">
        <v>106</v>
      </c>
      <c r="G6" s="1">
        <v>45971</v>
      </c>
      <c r="H6" s="1">
        <v>45992</v>
      </c>
      <c r="I6" t="s">
        <v>107</v>
      </c>
    </row>
    <row r="7" spans="1:9">
      <c r="A7" t="s">
        <v>21</v>
      </c>
      <c r="B7" t="s">
        <v>1</v>
      </c>
      <c r="C7" t="s">
        <v>114</v>
      </c>
      <c r="D7" t="s">
        <v>105</v>
      </c>
      <c r="E7" t="s">
        <v>64</v>
      </c>
      <c r="F7" t="s">
        <v>106</v>
      </c>
      <c r="G7" s="1">
        <v>45971</v>
      </c>
      <c r="H7" s="1">
        <v>45992</v>
      </c>
      <c r="I7" t="s">
        <v>107</v>
      </c>
    </row>
    <row r="8" spans="1:9">
      <c r="A8" t="s">
        <v>23</v>
      </c>
      <c r="B8" t="s">
        <v>1</v>
      </c>
      <c r="C8" t="s">
        <v>115</v>
      </c>
      <c r="D8" t="s">
        <v>105</v>
      </c>
      <c r="E8" t="s">
        <v>67</v>
      </c>
      <c r="F8" t="s">
        <v>106</v>
      </c>
      <c r="G8" s="1">
        <v>45971</v>
      </c>
      <c r="H8" s="1">
        <v>45992</v>
      </c>
      <c r="I8" t="s">
        <v>107</v>
      </c>
    </row>
    <row r="9" spans="1:9">
      <c r="A9" t="s">
        <v>25</v>
      </c>
      <c r="B9" t="s">
        <v>1</v>
      </c>
      <c r="C9" t="s">
        <v>116</v>
      </c>
      <c r="D9" t="s">
        <v>105</v>
      </c>
      <c r="E9" t="s">
        <v>64</v>
      </c>
      <c r="F9" t="s">
        <v>106</v>
      </c>
      <c r="G9" s="1">
        <v>45971</v>
      </c>
      <c r="H9" s="1">
        <v>45992</v>
      </c>
      <c r="I9" t="s">
        <v>107</v>
      </c>
    </row>
    <row r="10" spans="1:9">
      <c r="A10" t="s">
        <v>27</v>
      </c>
      <c r="B10" t="s">
        <v>1</v>
      </c>
      <c r="C10" t="s">
        <v>117</v>
      </c>
      <c r="D10" t="s">
        <v>105</v>
      </c>
      <c r="E10" t="s">
        <v>70</v>
      </c>
      <c r="F10" t="s">
        <v>106</v>
      </c>
      <c r="G10" s="1">
        <v>45971</v>
      </c>
      <c r="H10" s="1">
        <v>45992</v>
      </c>
      <c r="I10" t="s">
        <v>107</v>
      </c>
    </row>
    <row r="11" spans="1:9">
      <c r="A11" t="s">
        <v>29</v>
      </c>
      <c r="B11" t="s">
        <v>1</v>
      </c>
      <c r="C11" t="s">
        <v>118</v>
      </c>
      <c r="D11" t="s">
        <v>105</v>
      </c>
      <c r="E11" t="s">
        <v>67</v>
      </c>
      <c r="F11" t="s">
        <v>106</v>
      </c>
      <c r="G11" s="1">
        <v>45992</v>
      </c>
      <c r="H11" s="1">
        <v>46006</v>
      </c>
      <c r="I11" t="s">
        <v>107</v>
      </c>
    </row>
    <row r="12" spans="1:9">
      <c r="A12" t="s">
        <v>32</v>
      </c>
      <c r="B12" t="s">
        <v>1</v>
      </c>
      <c r="C12" t="s">
        <v>119</v>
      </c>
      <c r="D12" t="s">
        <v>105</v>
      </c>
      <c r="E12" t="s">
        <v>67</v>
      </c>
      <c r="F12" t="s">
        <v>106</v>
      </c>
      <c r="G12" s="1">
        <v>45992</v>
      </c>
      <c r="H12" s="1">
        <v>46006</v>
      </c>
      <c r="I12" t="s">
        <v>107</v>
      </c>
    </row>
    <row r="13" spans="1:9">
      <c r="A13" t="s">
        <v>34</v>
      </c>
      <c r="B13" t="s">
        <v>1</v>
      </c>
      <c r="C13" t="s">
        <v>120</v>
      </c>
      <c r="D13" t="s">
        <v>105</v>
      </c>
      <c r="E13" t="s">
        <v>67</v>
      </c>
      <c r="F13" t="s">
        <v>106</v>
      </c>
      <c r="G13" s="1">
        <v>45992</v>
      </c>
      <c r="H13" s="1">
        <v>46006</v>
      </c>
      <c r="I13" t="s">
        <v>107</v>
      </c>
    </row>
    <row r="14" spans="1:9">
      <c r="A14" t="s">
        <v>36</v>
      </c>
      <c r="B14" t="s">
        <v>1</v>
      </c>
      <c r="C14" t="s">
        <v>121</v>
      </c>
      <c r="D14" t="s">
        <v>105</v>
      </c>
      <c r="E14" t="s">
        <v>70</v>
      </c>
      <c r="F14" t="s">
        <v>106</v>
      </c>
      <c r="G14" s="1">
        <v>46006</v>
      </c>
      <c r="H14" s="1">
        <v>46013</v>
      </c>
      <c r="I14" t="s">
        <v>107</v>
      </c>
    </row>
    <row r="15" spans="1:9">
      <c r="A15" t="s">
        <v>39</v>
      </c>
      <c r="B15" t="s">
        <v>1</v>
      </c>
      <c r="C15" t="s">
        <v>122</v>
      </c>
      <c r="D15" t="s">
        <v>105</v>
      </c>
      <c r="E15" t="s">
        <v>70</v>
      </c>
      <c r="F15" t="s">
        <v>106</v>
      </c>
      <c r="G15" s="1">
        <v>46006</v>
      </c>
      <c r="H15" s="1">
        <v>46013</v>
      </c>
      <c r="I15" t="s">
        <v>107</v>
      </c>
    </row>
    <row r="16" spans="1:9">
      <c r="A16" t="s">
        <v>41</v>
      </c>
      <c r="B16" t="s">
        <v>1</v>
      </c>
      <c r="C16" t="s">
        <v>123</v>
      </c>
      <c r="D16" t="s">
        <v>105</v>
      </c>
      <c r="E16" t="s">
        <v>70</v>
      </c>
      <c r="F16" t="s">
        <v>106</v>
      </c>
      <c r="G16" s="1">
        <v>46006</v>
      </c>
      <c r="H16" s="1">
        <v>46013</v>
      </c>
      <c r="I16" t="s">
        <v>107</v>
      </c>
    </row>
    <row r="17" spans="1:9">
      <c r="A17" t="s">
        <v>43</v>
      </c>
      <c r="B17" t="s">
        <v>1</v>
      </c>
      <c r="C17" t="s">
        <v>124</v>
      </c>
      <c r="D17" t="s">
        <v>105</v>
      </c>
      <c r="E17" t="s">
        <v>45</v>
      </c>
      <c r="F17" t="s">
        <v>106</v>
      </c>
      <c r="G17" s="1">
        <v>46013</v>
      </c>
      <c r="H17" s="1">
        <v>46020</v>
      </c>
      <c r="I17" t="s">
        <v>107</v>
      </c>
    </row>
    <row r="18" spans="1:9">
      <c r="A18" t="s">
        <v>47</v>
      </c>
      <c r="B18" t="s">
        <v>1</v>
      </c>
      <c r="C18" t="s">
        <v>125</v>
      </c>
      <c r="D18" t="s">
        <v>105</v>
      </c>
      <c r="E18" t="s">
        <v>48</v>
      </c>
      <c r="F18" t="s">
        <v>106</v>
      </c>
      <c r="G18" s="1">
        <v>46023</v>
      </c>
      <c r="H18" s="1">
        <v>46053</v>
      </c>
      <c r="I18" t="s">
        <v>107</v>
      </c>
    </row>
    <row r="19" spans="1:9">
      <c r="A19" t="s">
        <v>50</v>
      </c>
      <c r="B19" t="s">
        <v>1</v>
      </c>
      <c r="C19" t="s">
        <v>126</v>
      </c>
      <c r="D19" t="s">
        <v>105</v>
      </c>
      <c r="E19" t="s">
        <v>127</v>
      </c>
      <c r="F19" t="s">
        <v>106</v>
      </c>
      <c r="G19" s="1">
        <v>46054</v>
      </c>
      <c r="H19" s="1">
        <v>46058</v>
      </c>
      <c r="I19" t="s">
        <v>107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128</v>
      </c>
      <c r="B1" t="s">
        <v>1</v>
      </c>
      <c r="C1" t="s">
        <v>4</v>
      </c>
      <c r="D1" t="s">
        <v>5</v>
      </c>
      <c r="E1" t="s">
        <v>3</v>
      </c>
      <c r="F1" t="s">
        <v>55</v>
      </c>
    </row>
    <row r="2" spans="1:6">
      <c r="A2" t="s">
        <v>129</v>
      </c>
      <c r="B2" t="s">
        <v>8</v>
      </c>
      <c r="C2" s="1">
        <v>45964</v>
      </c>
      <c r="D2" s="1">
        <v>45971</v>
      </c>
      <c r="E2" t="s">
        <v>64</v>
      </c>
      <c r="F2" t="s">
        <v>130</v>
      </c>
    </row>
    <row r="3" spans="1:6">
      <c r="A3" t="s">
        <v>129</v>
      </c>
      <c r="B3" t="s">
        <v>12</v>
      </c>
      <c r="C3" s="1">
        <v>45964</v>
      </c>
      <c r="D3" s="1">
        <v>45971</v>
      </c>
      <c r="E3" t="s">
        <v>109</v>
      </c>
      <c r="F3" t="s">
        <v>130</v>
      </c>
    </row>
    <row r="4" spans="1:6">
      <c r="A4" t="s">
        <v>129</v>
      </c>
      <c r="B4" t="s">
        <v>14</v>
      </c>
      <c r="C4" s="1">
        <v>45964</v>
      </c>
      <c r="D4" s="1">
        <v>45971</v>
      </c>
      <c r="E4" t="s">
        <v>67</v>
      </c>
      <c r="F4" t="s">
        <v>130</v>
      </c>
    </row>
    <row r="5" spans="1:6">
      <c r="A5" t="s">
        <v>129</v>
      </c>
      <c r="B5" t="s">
        <v>16</v>
      </c>
      <c r="C5" s="1">
        <v>45964</v>
      </c>
      <c r="D5" s="1">
        <v>45971</v>
      </c>
      <c r="E5" t="s">
        <v>70</v>
      </c>
      <c r="F5" t="s">
        <v>130</v>
      </c>
    </row>
    <row r="6" spans="1:6">
      <c r="A6" t="s">
        <v>129</v>
      </c>
      <c r="B6" t="s">
        <v>112</v>
      </c>
      <c r="C6" s="1">
        <v>45971</v>
      </c>
      <c r="D6" s="1">
        <v>45992</v>
      </c>
      <c r="E6" t="s">
        <v>64</v>
      </c>
      <c r="F6" t="s">
        <v>130</v>
      </c>
    </row>
    <row r="7" spans="1:6">
      <c r="A7" t="s">
        <v>129</v>
      </c>
      <c r="B7" t="s">
        <v>21</v>
      </c>
      <c r="C7" s="1">
        <v>45971</v>
      </c>
      <c r="D7" s="1">
        <v>45992</v>
      </c>
      <c r="E7" t="s">
        <v>64</v>
      </c>
      <c r="F7" t="s">
        <v>130</v>
      </c>
    </row>
    <row r="8" spans="1:6">
      <c r="A8" t="s">
        <v>129</v>
      </c>
      <c r="B8" t="s">
        <v>23</v>
      </c>
      <c r="C8" s="1">
        <v>45971</v>
      </c>
      <c r="D8" s="1">
        <v>45992</v>
      </c>
      <c r="E8" t="s">
        <v>67</v>
      </c>
      <c r="F8" t="s">
        <v>130</v>
      </c>
    </row>
    <row r="9" spans="1:6">
      <c r="A9" t="s">
        <v>129</v>
      </c>
      <c r="B9" t="s">
        <v>25</v>
      </c>
      <c r="C9" s="1">
        <v>45971</v>
      </c>
      <c r="D9" s="1">
        <v>45992</v>
      </c>
      <c r="E9" t="s">
        <v>64</v>
      </c>
      <c r="F9" t="s">
        <v>130</v>
      </c>
    </row>
    <row r="10" spans="1:6">
      <c r="A10" t="s">
        <v>129</v>
      </c>
      <c r="B10" t="s">
        <v>27</v>
      </c>
      <c r="C10" s="1">
        <v>45971</v>
      </c>
      <c r="D10" s="1">
        <v>45992</v>
      </c>
      <c r="E10" t="s">
        <v>70</v>
      </c>
      <c r="F10" t="s">
        <v>130</v>
      </c>
    </row>
    <row r="11" spans="1:6">
      <c r="A11" t="s">
        <v>131</v>
      </c>
      <c r="B11" t="s">
        <v>29</v>
      </c>
      <c r="C11" s="1">
        <v>45992</v>
      </c>
      <c r="D11" s="1">
        <v>46006</v>
      </c>
      <c r="E11" t="s">
        <v>67</v>
      </c>
      <c r="F11" t="s">
        <v>130</v>
      </c>
    </row>
    <row r="12" spans="1:6">
      <c r="A12" t="s">
        <v>131</v>
      </c>
      <c r="B12" t="s">
        <v>32</v>
      </c>
      <c r="C12" s="1">
        <v>45992</v>
      </c>
      <c r="D12" s="1">
        <v>46006</v>
      </c>
      <c r="E12" t="s">
        <v>67</v>
      </c>
      <c r="F12" t="s">
        <v>130</v>
      </c>
    </row>
    <row r="13" spans="1:6">
      <c r="A13" t="s">
        <v>131</v>
      </c>
      <c r="B13" t="s">
        <v>34</v>
      </c>
      <c r="C13" s="1">
        <v>45992</v>
      </c>
      <c r="D13" s="1">
        <v>46006</v>
      </c>
      <c r="E13" t="s">
        <v>67</v>
      </c>
      <c r="F13" t="s">
        <v>130</v>
      </c>
    </row>
    <row r="14" spans="1:6">
      <c r="A14" t="s">
        <v>131</v>
      </c>
      <c r="B14" t="s">
        <v>36</v>
      </c>
      <c r="C14" s="1">
        <v>46006</v>
      </c>
      <c r="D14" s="1">
        <v>46013</v>
      </c>
      <c r="E14" t="s">
        <v>70</v>
      </c>
      <c r="F14" t="s">
        <v>130</v>
      </c>
    </row>
    <row r="15" spans="1:6">
      <c r="A15" t="s">
        <v>131</v>
      </c>
      <c r="B15" t="s">
        <v>39</v>
      </c>
      <c r="C15" s="1">
        <v>46006</v>
      </c>
      <c r="D15" s="1">
        <v>46013</v>
      </c>
      <c r="E15" t="s">
        <v>70</v>
      </c>
      <c r="F15" t="s">
        <v>130</v>
      </c>
    </row>
    <row r="16" spans="1:6">
      <c r="A16" t="s">
        <v>131</v>
      </c>
      <c r="B16" t="s">
        <v>41</v>
      </c>
      <c r="C16" s="1">
        <v>46006</v>
      </c>
      <c r="D16" s="1">
        <v>46013</v>
      </c>
      <c r="E16" t="s">
        <v>70</v>
      </c>
      <c r="F16" t="s">
        <v>130</v>
      </c>
    </row>
    <row r="17" spans="1:6">
      <c r="A17" t="s">
        <v>129</v>
      </c>
      <c r="B17" t="s">
        <v>43</v>
      </c>
      <c r="C17" s="1">
        <v>46013</v>
      </c>
      <c r="D17" s="1">
        <v>46020</v>
      </c>
      <c r="E17" t="s">
        <v>45</v>
      </c>
      <c r="F17" t="s">
        <v>130</v>
      </c>
    </row>
    <row r="18" spans="1:6">
      <c r="A18" t="s">
        <v>131</v>
      </c>
      <c r="B18" t="s">
        <v>47</v>
      </c>
      <c r="C18" s="1">
        <v>46023</v>
      </c>
      <c r="D18" s="1">
        <v>46053</v>
      </c>
      <c r="E18" t="s">
        <v>48</v>
      </c>
      <c r="F18" t="s">
        <v>130</v>
      </c>
    </row>
    <row r="19" spans="1:6">
      <c r="A19" t="s">
        <v>131</v>
      </c>
      <c r="B19" t="s">
        <v>50</v>
      </c>
      <c r="C19" s="1">
        <v>46054</v>
      </c>
      <c r="D19" s="1">
        <v>46058</v>
      </c>
      <c r="E19" t="s">
        <v>127</v>
      </c>
      <c r="F19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Gantt_Weekly_Auto</vt:lpstr>
      <vt:lpstr>Milestones</vt:lpstr>
      <vt:lpstr>Resource_Load</vt:lpstr>
      <vt:lpstr>JIRA_Import_Template</vt:lpstr>
      <vt:lpstr>Portfolio_View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7thhabit</cp:lastModifiedBy>
  <dcterms:created xsi:type="dcterms:W3CDTF">2025-11-04T04:19:00Z</dcterms:created>
  <dcterms:modified xsi:type="dcterms:W3CDTF">2025-11-04T04:35:44Z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25F0538EC627477B9E1F08509E7CD858_12</vt:lpwstr>
  </property>
  <property fmtid="{D5CDD505-2E9C-101B-9397-08002B2CF9AE}" pid="3" name="KSOProductBuildVer">
    <vt:lpwstr>2052-12.1.0.23542</vt:lpwstr>
  </property>
</Properties>
</file>